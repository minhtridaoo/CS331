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osodumb\Documents\CS331\reports\audits\"/>
    </mc:Choice>
  </mc:AlternateContent>
  <xr:revisionPtr revIDLastSave="0" documentId="13_ncr:1_{2F9ABEC3-35B7-49F7-9A4C-07B3662E0F37}" xr6:coauthVersionLast="47" xr6:coauthVersionMax="47" xr10:uidLastSave="{00000000-0000-0000-0000-000000000000}"/>
  <bookViews>
    <workbookView xWindow="-25710" yWindow="-110" windowWidth="25820" windowHeight="16220" activeTab="3" xr2:uid="{D94D246F-C79F-41E1-9EFD-53C8DB4BF0A9}"/>
  </bookViews>
  <sheets>
    <sheet name="TRIEU_TINH_TAY" sheetId="1" r:id="rId1"/>
    <sheet name="q05_2" sheetId="2" r:id="rId2"/>
    <sheet name="ca_hong" sheetId="3" r:id="rId3"/>
    <sheet name="tap_moi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4" l="1"/>
  <c r="B42" i="4"/>
  <c r="B41" i="4"/>
  <c r="B40" i="4"/>
  <c r="B39" i="4"/>
  <c r="B38" i="4"/>
  <c r="B37" i="4"/>
  <c r="B36" i="4"/>
  <c r="B35" i="4"/>
  <c r="B34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2" i="4"/>
  <c r="I2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2" i="4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  <c r="I3" i="1"/>
  <c r="I4" i="1"/>
  <c r="I6" i="1"/>
  <c r="I7" i="1"/>
  <c r="D21" i="1"/>
  <c r="C20" i="1"/>
  <c r="D19" i="1"/>
  <c r="C18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F3" i="1"/>
  <c r="F4" i="1"/>
  <c r="F5" i="1"/>
  <c r="I5" i="1" s="1"/>
  <c r="F6" i="1"/>
  <c r="F7" i="1"/>
  <c r="F8" i="1"/>
  <c r="I8" i="1" s="1"/>
  <c r="F9" i="1"/>
  <c r="I9" i="1" s="1"/>
  <c r="F10" i="1"/>
  <c r="I10" i="1" s="1"/>
  <c r="F11" i="1"/>
  <c r="I11" i="1" s="1"/>
  <c r="F12" i="1"/>
  <c r="I12" i="1" s="1"/>
  <c r="F13" i="1"/>
  <c r="I13" i="1" s="1"/>
  <c r="F14" i="1"/>
  <c r="I14" i="1" s="1"/>
  <c r="F15" i="1"/>
  <c r="I15" i="1" s="1"/>
  <c r="F16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B28" i="1" s="1"/>
  <c r="H2" i="1"/>
  <c r="G2" i="1"/>
  <c r="F2" i="1"/>
  <c r="I2" i="1" s="1"/>
  <c r="B29" i="1" l="1"/>
  <c r="I16" i="1"/>
  <c r="B24" i="1"/>
  <c r="B25" i="1"/>
  <c r="B23" i="1"/>
</calcChain>
</file>

<file path=xl/sharedStrings.xml><?xml version="1.0" encoding="utf-8"?>
<sst xmlns="http://schemas.openxmlformats.org/spreadsheetml/2006/main" count="230" uniqueCount="137">
  <si>
    <t>query_id</t>
  </si>
  <si>
    <t>gt_count</t>
  </si>
  <si>
    <t>B0_count</t>
  </si>
  <si>
    <t>B2_count</t>
  </si>
  <si>
    <t>q01_1</t>
  </si>
  <si>
    <t>q01_2</t>
  </si>
  <si>
    <t>q01_3</t>
  </si>
  <si>
    <t>q02_1</t>
  </si>
  <si>
    <t>q02_2</t>
  </si>
  <si>
    <t>q02_3</t>
  </si>
  <si>
    <t>q03_1</t>
  </si>
  <si>
    <t>q03_2</t>
  </si>
  <si>
    <t>q03_3</t>
  </si>
  <si>
    <t>q04_1</t>
  </si>
  <si>
    <t>q04_2</t>
  </si>
  <si>
    <t>q04_3</t>
  </si>
  <si>
    <t>q05_1</t>
  </si>
  <si>
    <t>q05_2</t>
  </si>
  <si>
    <t>q05_3</t>
  </si>
  <si>
    <t>MAE B0</t>
  </si>
  <si>
    <t>MAE B2</t>
  </si>
  <si>
    <t>RMSE B0</t>
  </si>
  <si>
    <t>RMSE B2</t>
  </si>
  <si>
    <t>B0_abs_error</t>
  </si>
  <si>
    <t>B2_abs_error</t>
  </si>
  <si>
    <t>B0_sq_error</t>
  </si>
  <si>
    <t>B2_sq_error</t>
  </si>
  <si>
    <t>B2_vs_B0</t>
  </si>
  <si>
    <t>improved</t>
  </si>
  <si>
    <t>worsened</t>
  </si>
  <si>
    <t>unchanged</t>
  </si>
  <si>
    <t>MAE B0 (bỏ q05_3):</t>
  </si>
  <si>
    <t>MAE B2 (bỏ q05_3):</t>
  </si>
  <si>
    <t>box</t>
  </si>
  <si>
    <t>loai_qua</t>
  </si>
  <si>
    <t>dung_raspberry</t>
  </si>
  <si>
    <t>ten_qua</t>
  </si>
  <si>
    <t>tron_hay_mot_phan</t>
  </si>
  <si>
    <t>raspberry</t>
  </si>
  <si>
    <t>co</t>
  </si>
  <si>
    <t>trai_sau_ben_phai</t>
  </si>
  <si>
    <t>tron</t>
  </si>
  <si>
    <t>Quy tắc chấm (Triệu, 27/10/2026): tron = bao gần hết phần nhìn thấy của quả, hụt &lt; ~1/4; chỉ xét phần không bị che. Box lấn sang quả bên cạnh không tính là lỗi. Box nhắm tới quả có phần lớn nhất trong box. Box chứa ~2 quả nguyên → gop_2_qua. Không chắc → khong_ro + lý do. Ước lượng bằng mắt, không phải IoU.</t>
  </si>
  <si>
    <t>trai_truoc_giua</t>
  </si>
  <si>
    <t>trai_truoc</t>
  </si>
  <si>
    <t>cherry</t>
  </si>
  <si>
    <t>khong</t>
  </si>
  <si>
    <t>strawberry</t>
  </si>
  <si>
    <t>trai_sau_ben_trai</t>
  </si>
  <si>
    <t>blueberry</t>
  </si>
  <si>
    <t>blackberry</t>
  </si>
  <si>
    <t>mot_phan</t>
  </si>
  <si>
    <t>14 box = 4 quả raspberry khác nhau + 1 box trùng + 9 box sai loại</t>
  </si>
  <si>
    <t>ghi_chu</t>
  </si>
  <si>
    <t>Quả bị che phần lớn; box bao đủ phần nhìn thấy → tron theo quy tắc Triệu. File cũ ghi partial (có thể tính theo cả quả). Không ảnh hưởng 4 con số vì là box sai loại.</t>
  </si>
  <si>
    <t>ca</t>
  </si>
  <si>
    <t>lam_hong_gi</t>
  </si>
  <si>
    <t>trieu_doan</t>
  </si>
  <si>
    <t>evaluator_thuc_te</t>
  </si>
  <si>
    <t>thong_bao</t>
  </si>
  <si>
    <t>Nhân đôi dòng q01_1 (ID trùng)</t>
  </si>
  <si>
    <t>chạy</t>
  </si>
  <si>
    <t>dừng</t>
  </si>
  <si>
    <t>B0: ID trùng ('mcac_100', 'q01_1')</t>
  </si>
  <si>
    <t>Xóa dòng q05_3 (thiếu ID)</t>
  </si>
  <si>
    <t>báo lỗi</t>
  </si>
  <si>
    <t>B0: ID thiếu/thừa: thiếu=[('mcac_27', 'q05_3')], thừa=[]</t>
  </si>
  <si>
    <t>final_count 25 → 26, vẫn 25 box</t>
  </si>
  <si>
    <t>('mcac_100', 'q01_1'): count khác số boxes/scores</t>
  </si>
  <si>
    <t>execution_status=error nhưng vẫn count 25</t>
  </si>
  <si>
    <t>('mcac_100', 'q01_1'): error phải có final_count=null</t>
  </si>
  <si>
    <t>execution_status=error + final_count=null</t>
  </si>
  <si>
    <t>B0 valid 14, errors 1; B2 valid 15; paired n_queries 14</t>
  </si>
  <si>
    <t>Đoán đúng 2/5. Dữ liệu sai định dạng → dừng; lỗi chạy ghi đúng quy ước (error + null) → cho qua, loại khỏi so sánh cả B0 lẫn B2 và báo coverage. File hỏng tạo từ bản sao m4_first5_b0, file gốc không bị sửa.</t>
  </si>
  <si>
    <t>delta</t>
  </si>
  <si>
    <t>compare_B0_B2</t>
  </si>
  <si>
    <t>u01_1</t>
  </si>
  <si>
    <t>u01_2</t>
  </si>
  <si>
    <t>u01_3</t>
  </si>
  <si>
    <t>u02_1</t>
  </si>
  <si>
    <t>u02_2</t>
  </si>
  <si>
    <t>u02_3</t>
  </si>
  <si>
    <t>u03_1</t>
  </si>
  <si>
    <t>u03_2</t>
  </si>
  <si>
    <t>u03_3</t>
  </si>
  <si>
    <t>u04_1</t>
  </si>
  <si>
    <t>u04_2</t>
  </si>
  <si>
    <t>u04_3</t>
  </si>
  <si>
    <t>u05_1</t>
  </si>
  <si>
    <t>u05_2</t>
  </si>
  <si>
    <t>u05_3</t>
  </si>
  <si>
    <t>u06_1</t>
  </si>
  <si>
    <t>u06_2</t>
  </si>
  <si>
    <t>u06_3</t>
  </si>
  <si>
    <t>u07_1</t>
  </si>
  <si>
    <t>u07_2</t>
  </si>
  <si>
    <t>u07_3</t>
  </si>
  <si>
    <t>u08_1</t>
  </si>
  <si>
    <t>u08_2</t>
  </si>
  <si>
    <t>u08_3</t>
  </si>
  <si>
    <t>u09_1</t>
  </si>
  <si>
    <t>u09_2</t>
  </si>
  <si>
    <t>u09_3</t>
  </si>
  <si>
    <t>u10_1</t>
  </si>
  <si>
    <t>u10_2</t>
  </si>
  <si>
    <t>u10_3</t>
  </si>
  <si>
    <t>prompt</t>
  </si>
  <si>
    <t>people</t>
  </si>
  <si>
    <t>dogs</t>
  </si>
  <si>
    <t>sheep</t>
  </si>
  <si>
    <t>cats</t>
  </si>
  <si>
    <t>amplifiers</t>
  </si>
  <si>
    <t>bicycles</t>
  </si>
  <si>
    <t>guitars</t>
  </si>
  <si>
    <t>chairs</t>
  </si>
  <si>
    <t>beach umbrellas</t>
  </si>
  <si>
    <t>forks</t>
  </si>
  <si>
    <t>blackberries</t>
  </si>
  <si>
    <t>cars</t>
  </si>
  <si>
    <t>boats</t>
  </si>
  <si>
    <t>trucks</t>
  </si>
  <si>
    <t>motorbikes</t>
  </si>
  <si>
    <t>presence</t>
  </si>
  <si>
    <t>gt</t>
  </si>
  <si>
    <t>present</t>
  </si>
  <si>
    <t>absent</t>
  </si>
  <si>
    <t>pred_B0</t>
  </si>
  <si>
    <t>pred_B2_original</t>
  </si>
  <si>
    <t>MAE B0 (30 query)</t>
  </si>
  <si>
    <t>MAE B2 (30 query)</t>
  </si>
  <si>
    <t>MAE B0 (chỉ có mặt)</t>
  </si>
  <si>
    <t>MAE B2 (chỉ có mặt)</t>
  </si>
  <si>
    <t>absent, B0 &gt; 0</t>
  </si>
  <si>
    <t>absent, B2 &gt; 0</t>
  </si>
  <si>
    <t>MAE B0 bỏ u10_2</t>
  </si>
  <si>
    <t>MAE B2 bỏ u10_2</t>
  </si>
  <si>
    <t>chỉ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</si>
</sst>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1"/>
      <name val="Arial Unicode MS"/>
    </font>
    <font>
      <sz val="11"/>
      <color rgb="FF00000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8" fillId="0" borderId="0" xfId="0" applyFont="1"/>
    <xf numFmtId="0" fontId="19" fillId="0" borderId="0" xfId="0" applyFont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38754-808F-48EF-A61E-50A290196CEB}">
  <dimension ref="A1:K29"/>
  <sheetViews>
    <sheetView workbookViewId="0">
      <selection activeCell="K3" sqref="K3"/>
    </sheetView>
  </sheetViews>
  <sheetFormatPr defaultRowHeight="14.25"/>
  <cols>
    <col min="1" max="1" width="17.125" customWidth="1"/>
    <col min="2" max="2" width="15.5" customWidth="1"/>
    <col min="3" max="3" width="15.125" customWidth="1"/>
    <col min="4" max="4" width="13.875" customWidth="1"/>
    <col min="5" max="5" width="13.25" customWidth="1"/>
    <col min="6" max="6" width="13.625" customWidth="1"/>
    <col min="7" max="7" width="14.625" customWidth="1"/>
    <col min="8" max="8" width="13" customWidth="1"/>
    <col min="9" max="9" width="11.875" customWidth="1"/>
    <col min="11" max="11" width="16.8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s="3" t="s">
        <v>23</v>
      </c>
      <c r="F1" s="3" t="s">
        <v>24</v>
      </c>
      <c r="G1" t="s">
        <v>25</v>
      </c>
      <c r="H1" t="s">
        <v>26</v>
      </c>
      <c r="I1" t="s">
        <v>27</v>
      </c>
      <c r="J1" t="s">
        <v>74</v>
      </c>
      <c r="K1" t="s">
        <v>75</v>
      </c>
    </row>
    <row r="2" spans="1:11">
      <c r="A2" t="s">
        <v>4</v>
      </c>
      <c r="B2">
        <v>25</v>
      </c>
      <c r="C2">
        <v>25</v>
      </c>
      <c r="D2">
        <v>25</v>
      </c>
      <c r="E2">
        <f t="shared" ref="E2:E16" si="0">ABS(C2-B2)</f>
        <v>0</v>
      </c>
      <c r="F2">
        <f>ABS(D2-B2)</f>
        <v>0</v>
      </c>
      <c r="G2">
        <f>(C2-B2)^2</f>
        <v>0</v>
      </c>
      <c r="H2">
        <f>(D2-B2)^2</f>
        <v>0</v>
      </c>
      <c r="I2" t="str">
        <f>IF(F2&lt;E2,"improved",IF(F2&gt;E2,"worsened","unchanged"))</f>
        <v>unchanged</v>
      </c>
      <c r="J2">
        <f>F2-E2</f>
        <v>0</v>
      </c>
      <c r="K2" t="str">
        <f>IF(J2&lt;0,"B2 better",IF(J2&gt;0,"B2 worse","same"))</f>
        <v>same</v>
      </c>
    </row>
    <row r="3" spans="1:11">
      <c r="A3" t="s">
        <v>5</v>
      </c>
      <c r="B3">
        <v>11</v>
      </c>
      <c r="C3">
        <v>44</v>
      </c>
      <c r="D3">
        <v>38</v>
      </c>
      <c r="E3">
        <f t="shared" si="0"/>
        <v>33</v>
      </c>
      <c r="F3">
        <f t="shared" ref="F3:F16" si="1">ABS(D3-B3)</f>
        <v>27</v>
      </c>
      <c r="G3">
        <f t="shared" ref="G3:G16" si="2">(C3-B3)^2</f>
        <v>1089</v>
      </c>
      <c r="H3">
        <f t="shared" ref="H3:H16" si="3">(D3-B3)^2</f>
        <v>729</v>
      </c>
      <c r="I3" t="str">
        <f t="shared" ref="I3:I16" si="4">IF(F3&lt;E3,"improved",IF(F3&gt;E3,"worsened","unchanged"))</f>
        <v>improved</v>
      </c>
      <c r="J3">
        <f t="shared" ref="J3:J16" si="5">F3-E3</f>
        <v>-6</v>
      </c>
      <c r="K3" t="str">
        <f t="shared" ref="K3:K16" si="6">IF(J3&lt;0,"B2 better",IF(J3&gt;0,"B2 worse","same"))</f>
        <v>B2 better</v>
      </c>
    </row>
    <row r="4" spans="1:11">
      <c r="A4" t="s">
        <v>6</v>
      </c>
      <c r="B4">
        <v>1</v>
      </c>
      <c r="C4">
        <v>0</v>
      </c>
      <c r="D4">
        <v>0</v>
      </c>
      <c r="E4">
        <f t="shared" si="0"/>
        <v>1</v>
      </c>
      <c r="F4">
        <f t="shared" si="1"/>
        <v>1</v>
      </c>
      <c r="G4">
        <f t="shared" si="2"/>
        <v>1</v>
      </c>
      <c r="H4">
        <f t="shared" si="3"/>
        <v>1</v>
      </c>
      <c r="I4" t="str">
        <f t="shared" si="4"/>
        <v>unchanged</v>
      </c>
      <c r="J4">
        <f t="shared" si="5"/>
        <v>0</v>
      </c>
      <c r="K4" t="str">
        <f t="shared" si="6"/>
        <v>same</v>
      </c>
    </row>
    <row r="5" spans="1:11">
      <c r="A5" t="s">
        <v>7</v>
      </c>
      <c r="B5">
        <v>15</v>
      </c>
      <c r="C5">
        <v>28</v>
      </c>
      <c r="D5">
        <v>31</v>
      </c>
      <c r="E5">
        <f t="shared" si="0"/>
        <v>13</v>
      </c>
      <c r="F5">
        <f t="shared" si="1"/>
        <v>16</v>
      </c>
      <c r="G5">
        <f t="shared" si="2"/>
        <v>169</v>
      </c>
      <c r="H5">
        <f t="shared" si="3"/>
        <v>256</v>
      </c>
      <c r="I5" t="str">
        <f t="shared" si="4"/>
        <v>worsened</v>
      </c>
      <c r="J5">
        <f t="shared" si="5"/>
        <v>3</v>
      </c>
      <c r="K5" t="str">
        <f t="shared" si="6"/>
        <v>B2 worse</v>
      </c>
    </row>
    <row r="6" spans="1:11">
      <c r="A6" t="s">
        <v>8</v>
      </c>
      <c r="B6">
        <v>3</v>
      </c>
      <c r="C6">
        <v>31</v>
      </c>
      <c r="D6">
        <v>31</v>
      </c>
      <c r="E6">
        <f t="shared" si="0"/>
        <v>28</v>
      </c>
      <c r="F6">
        <f t="shared" si="1"/>
        <v>28</v>
      </c>
      <c r="G6">
        <f t="shared" si="2"/>
        <v>784</v>
      </c>
      <c r="H6">
        <f t="shared" si="3"/>
        <v>784</v>
      </c>
      <c r="I6" t="str">
        <f t="shared" si="4"/>
        <v>unchanged</v>
      </c>
      <c r="J6">
        <f t="shared" si="5"/>
        <v>0</v>
      </c>
      <c r="K6" t="str">
        <f t="shared" si="6"/>
        <v>same</v>
      </c>
    </row>
    <row r="7" spans="1:11">
      <c r="A7" t="s">
        <v>9</v>
      </c>
      <c r="B7">
        <v>2</v>
      </c>
      <c r="C7">
        <v>23</v>
      </c>
      <c r="D7">
        <v>26</v>
      </c>
      <c r="E7">
        <f t="shared" si="0"/>
        <v>21</v>
      </c>
      <c r="F7">
        <f t="shared" si="1"/>
        <v>24</v>
      </c>
      <c r="G7">
        <f t="shared" si="2"/>
        <v>441</v>
      </c>
      <c r="H7">
        <f t="shared" si="3"/>
        <v>576</v>
      </c>
      <c r="I7" t="str">
        <f t="shared" si="4"/>
        <v>worsened</v>
      </c>
      <c r="J7">
        <f t="shared" si="5"/>
        <v>3</v>
      </c>
      <c r="K7" t="str">
        <f t="shared" si="6"/>
        <v>B2 worse</v>
      </c>
    </row>
    <row r="8" spans="1:11">
      <c r="A8" t="s">
        <v>10</v>
      </c>
      <c r="B8">
        <v>6</v>
      </c>
      <c r="C8">
        <v>17</v>
      </c>
      <c r="D8">
        <v>13</v>
      </c>
      <c r="E8">
        <f t="shared" si="0"/>
        <v>11</v>
      </c>
      <c r="F8">
        <f t="shared" si="1"/>
        <v>7</v>
      </c>
      <c r="G8">
        <f t="shared" si="2"/>
        <v>121</v>
      </c>
      <c r="H8">
        <f t="shared" si="3"/>
        <v>49</v>
      </c>
      <c r="I8" t="str">
        <f t="shared" si="4"/>
        <v>improved</v>
      </c>
      <c r="J8">
        <f t="shared" si="5"/>
        <v>-4</v>
      </c>
      <c r="K8" t="str">
        <f t="shared" si="6"/>
        <v>B2 better</v>
      </c>
    </row>
    <row r="9" spans="1:11">
      <c r="A9" t="s">
        <v>11</v>
      </c>
      <c r="B9">
        <v>6</v>
      </c>
      <c r="C9">
        <v>18</v>
      </c>
      <c r="D9">
        <v>18</v>
      </c>
      <c r="E9">
        <f t="shared" si="0"/>
        <v>12</v>
      </c>
      <c r="F9">
        <f t="shared" si="1"/>
        <v>12</v>
      </c>
      <c r="G9">
        <f t="shared" si="2"/>
        <v>144</v>
      </c>
      <c r="H9">
        <f t="shared" si="3"/>
        <v>144</v>
      </c>
      <c r="I9" t="str">
        <f t="shared" si="4"/>
        <v>unchanged</v>
      </c>
      <c r="J9">
        <f t="shared" si="5"/>
        <v>0</v>
      </c>
      <c r="K9" t="str">
        <f t="shared" si="6"/>
        <v>same</v>
      </c>
    </row>
    <row r="10" spans="1:11">
      <c r="A10" t="s">
        <v>12</v>
      </c>
      <c r="B10">
        <v>6</v>
      </c>
      <c r="C10">
        <v>17</v>
      </c>
      <c r="D10">
        <v>16</v>
      </c>
      <c r="E10">
        <f t="shared" si="0"/>
        <v>11</v>
      </c>
      <c r="F10">
        <f t="shared" si="1"/>
        <v>10</v>
      </c>
      <c r="G10">
        <f t="shared" si="2"/>
        <v>121</v>
      </c>
      <c r="H10">
        <f t="shared" si="3"/>
        <v>100</v>
      </c>
      <c r="I10" t="str">
        <f t="shared" si="4"/>
        <v>improved</v>
      </c>
      <c r="J10">
        <f t="shared" si="5"/>
        <v>-1</v>
      </c>
      <c r="K10" t="str">
        <f t="shared" si="6"/>
        <v>B2 better</v>
      </c>
    </row>
    <row r="11" spans="1:11">
      <c r="A11" t="s">
        <v>13</v>
      </c>
      <c r="B11">
        <v>6</v>
      </c>
      <c r="C11">
        <v>60</v>
      </c>
      <c r="D11">
        <v>59</v>
      </c>
      <c r="E11">
        <f t="shared" si="0"/>
        <v>54</v>
      </c>
      <c r="F11">
        <f t="shared" si="1"/>
        <v>53</v>
      </c>
      <c r="G11">
        <f t="shared" si="2"/>
        <v>2916</v>
      </c>
      <c r="H11">
        <f t="shared" si="3"/>
        <v>2809</v>
      </c>
      <c r="I11" t="str">
        <f t="shared" si="4"/>
        <v>improved</v>
      </c>
      <c r="J11">
        <f t="shared" si="5"/>
        <v>-1</v>
      </c>
      <c r="K11" t="str">
        <f t="shared" si="6"/>
        <v>B2 better</v>
      </c>
    </row>
    <row r="12" spans="1:11">
      <c r="A12" t="s">
        <v>14</v>
      </c>
      <c r="B12">
        <v>24</v>
      </c>
      <c r="C12">
        <v>43</v>
      </c>
      <c r="D12">
        <v>32</v>
      </c>
      <c r="E12">
        <f t="shared" si="0"/>
        <v>19</v>
      </c>
      <c r="F12">
        <f t="shared" si="1"/>
        <v>8</v>
      </c>
      <c r="G12">
        <f t="shared" si="2"/>
        <v>361</v>
      </c>
      <c r="H12">
        <f t="shared" si="3"/>
        <v>64</v>
      </c>
      <c r="I12" t="str">
        <f t="shared" si="4"/>
        <v>improved</v>
      </c>
      <c r="J12">
        <f t="shared" si="5"/>
        <v>-11</v>
      </c>
      <c r="K12" t="str">
        <f t="shared" si="6"/>
        <v>B2 better</v>
      </c>
    </row>
    <row r="13" spans="1:11">
      <c r="A13" t="s">
        <v>15</v>
      </c>
      <c r="B13">
        <v>39</v>
      </c>
      <c r="C13">
        <v>84</v>
      </c>
      <c r="D13">
        <v>84</v>
      </c>
      <c r="E13">
        <f t="shared" si="0"/>
        <v>45</v>
      </c>
      <c r="F13">
        <f t="shared" si="1"/>
        <v>45</v>
      </c>
      <c r="G13">
        <f t="shared" si="2"/>
        <v>2025</v>
      </c>
      <c r="H13">
        <f t="shared" si="3"/>
        <v>2025</v>
      </c>
      <c r="I13" t="str">
        <f t="shared" si="4"/>
        <v>unchanged</v>
      </c>
      <c r="J13">
        <f t="shared" si="5"/>
        <v>0</v>
      </c>
      <c r="K13" t="str">
        <f t="shared" si="6"/>
        <v>same</v>
      </c>
    </row>
    <row r="14" spans="1:11">
      <c r="A14" t="s">
        <v>16</v>
      </c>
      <c r="B14">
        <v>2</v>
      </c>
      <c r="C14">
        <v>20</v>
      </c>
      <c r="D14">
        <v>15</v>
      </c>
      <c r="E14">
        <f t="shared" si="0"/>
        <v>18</v>
      </c>
      <c r="F14">
        <f t="shared" si="1"/>
        <v>13</v>
      </c>
      <c r="G14">
        <f t="shared" si="2"/>
        <v>324</v>
      </c>
      <c r="H14">
        <f t="shared" si="3"/>
        <v>169</v>
      </c>
      <c r="I14" t="str">
        <f t="shared" si="4"/>
        <v>improved</v>
      </c>
      <c r="J14">
        <f t="shared" si="5"/>
        <v>-5</v>
      </c>
      <c r="K14" t="str">
        <f t="shared" si="6"/>
        <v>B2 better</v>
      </c>
    </row>
    <row r="15" spans="1:11">
      <c r="A15" t="s">
        <v>17</v>
      </c>
      <c r="B15">
        <v>4</v>
      </c>
      <c r="C15">
        <v>11</v>
      </c>
      <c r="D15">
        <v>14</v>
      </c>
      <c r="E15">
        <f t="shared" si="0"/>
        <v>7</v>
      </c>
      <c r="F15">
        <f t="shared" si="1"/>
        <v>10</v>
      </c>
      <c r="G15">
        <f t="shared" si="2"/>
        <v>49</v>
      </c>
      <c r="H15">
        <f t="shared" si="3"/>
        <v>100</v>
      </c>
      <c r="I15" t="str">
        <f t="shared" si="4"/>
        <v>worsened</v>
      </c>
      <c r="J15">
        <f t="shared" si="5"/>
        <v>3</v>
      </c>
      <c r="K15" t="str">
        <f t="shared" si="6"/>
        <v>B2 worse</v>
      </c>
    </row>
    <row r="16" spans="1:11">
      <c r="A16" t="s">
        <v>18</v>
      </c>
      <c r="B16">
        <v>3</v>
      </c>
      <c r="C16">
        <v>21</v>
      </c>
      <c r="D16">
        <v>79</v>
      </c>
      <c r="E16">
        <f t="shared" si="0"/>
        <v>18</v>
      </c>
      <c r="F16">
        <f t="shared" si="1"/>
        <v>76</v>
      </c>
      <c r="G16">
        <f t="shared" si="2"/>
        <v>324</v>
      </c>
      <c r="H16">
        <f t="shared" si="3"/>
        <v>5776</v>
      </c>
      <c r="I16" t="str">
        <f t="shared" si="4"/>
        <v>worsened</v>
      </c>
      <c r="J16">
        <f t="shared" si="5"/>
        <v>58</v>
      </c>
      <c r="K16" t="str">
        <f t="shared" si="6"/>
        <v>B2 worse</v>
      </c>
    </row>
    <row r="18" spans="1:4">
      <c r="A18" t="s">
        <v>19</v>
      </c>
      <c r="C18">
        <f>AVERAGE(E2:E16)</f>
        <v>19.399999999999999</v>
      </c>
    </row>
    <row r="19" spans="1:4">
      <c r="A19" t="s">
        <v>20</v>
      </c>
      <c r="D19">
        <f>AVERAGE(F2:F16)</f>
        <v>22</v>
      </c>
    </row>
    <row r="20" spans="1:4">
      <c r="A20" t="s">
        <v>21</v>
      </c>
      <c r="C20">
        <f>SQRT(AVERAGE(G2:G16))</f>
        <v>24.315975544210986</v>
      </c>
    </row>
    <row r="21" spans="1:4">
      <c r="A21" t="s">
        <v>22</v>
      </c>
      <c r="D21">
        <f>SQRT(AVERAGE(H2:H16))</f>
        <v>30.090973175799196</v>
      </c>
    </row>
    <row r="23" spans="1:4">
      <c r="A23" t="s">
        <v>28</v>
      </c>
      <c r="B23" s="4">
        <f>COUNTIF(I2:I16,"improved")</f>
        <v>6</v>
      </c>
    </row>
    <row r="24" spans="1:4">
      <c r="A24" t="s">
        <v>29</v>
      </c>
      <c r="B24" s="2">
        <f>COUNTIF(I2:I16,"worsened")</f>
        <v>4</v>
      </c>
      <c r="C24" s="1"/>
    </row>
    <row r="25" spans="1:4">
      <c r="A25" t="s">
        <v>30</v>
      </c>
      <c r="B25">
        <f>COUNTIF(I2:I16,"unchanged")</f>
        <v>5</v>
      </c>
    </row>
    <row r="28" spans="1:4">
      <c r="A28" t="s">
        <v>31</v>
      </c>
      <c r="B28">
        <f>(SUM(E2:E16)-E16)/14</f>
        <v>19.5</v>
      </c>
    </row>
    <row r="29" spans="1:4">
      <c r="A29" t="s">
        <v>32</v>
      </c>
      <c r="B29">
        <f>(SUM(F2:F16)-F16)/14</f>
        <v>18.142857142857142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C7AAB-9045-4844-A6EB-3EA25878441B}">
  <dimension ref="A1:F18"/>
  <sheetViews>
    <sheetView workbookViewId="0">
      <selection activeCell="F36" sqref="F36"/>
    </sheetView>
  </sheetViews>
  <sheetFormatPr defaultRowHeight="14.25"/>
  <cols>
    <col min="1" max="1" width="9" customWidth="1"/>
    <col min="2" max="2" width="10.375" customWidth="1"/>
    <col min="3" max="3" width="19" customWidth="1"/>
    <col min="4" max="4" width="17.5" customWidth="1"/>
    <col min="5" max="5" width="19" customWidth="1"/>
    <col min="6" max="6" width="132.125" customWidth="1"/>
    <col min="7" max="7" width="9" customWidth="1"/>
  </cols>
  <sheetData>
    <row r="1" spans="1:6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53</v>
      </c>
    </row>
    <row r="2" spans="1:6">
      <c r="A2">
        <v>1</v>
      </c>
      <c r="B2" t="s">
        <v>38</v>
      </c>
      <c r="C2" t="s">
        <v>39</v>
      </c>
      <c r="D2" t="s">
        <v>40</v>
      </c>
      <c r="E2" t="s">
        <v>41</v>
      </c>
    </row>
    <row r="3" spans="1:6">
      <c r="A3">
        <v>2</v>
      </c>
      <c r="B3" t="s">
        <v>38</v>
      </c>
      <c r="C3" t="s">
        <v>39</v>
      </c>
      <c r="D3" t="s">
        <v>43</v>
      </c>
      <c r="E3" t="s">
        <v>41</v>
      </c>
    </row>
    <row r="4" spans="1:6">
      <c r="A4">
        <v>3</v>
      </c>
      <c r="B4" t="s">
        <v>38</v>
      </c>
      <c r="C4" t="s">
        <v>39</v>
      </c>
      <c r="D4" t="s">
        <v>44</v>
      </c>
      <c r="E4" t="s">
        <v>41</v>
      </c>
    </row>
    <row r="5" spans="1:6">
      <c r="A5">
        <v>4</v>
      </c>
      <c r="B5" t="s">
        <v>45</v>
      </c>
      <c r="C5" t="s">
        <v>46</v>
      </c>
      <c r="E5" t="s">
        <v>41</v>
      </c>
    </row>
    <row r="6" spans="1:6">
      <c r="A6">
        <v>5</v>
      </c>
      <c r="B6" t="s">
        <v>47</v>
      </c>
      <c r="C6" t="s">
        <v>46</v>
      </c>
      <c r="E6" t="s">
        <v>41</v>
      </c>
    </row>
    <row r="7" spans="1:6">
      <c r="A7">
        <v>6</v>
      </c>
      <c r="B7" t="s">
        <v>47</v>
      </c>
      <c r="C7" t="s">
        <v>46</v>
      </c>
      <c r="E7" t="s">
        <v>41</v>
      </c>
    </row>
    <row r="8" spans="1:6">
      <c r="A8">
        <v>7</v>
      </c>
      <c r="B8" t="s">
        <v>38</v>
      </c>
      <c r="C8" t="s">
        <v>39</v>
      </c>
      <c r="D8" t="s">
        <v>48</v>
      </c>
      <c r="E8" t="s">
        <v>41</v>
      </c>
    </row>
    <row r="9" spans="1:6">
      <c r="A9">
        <v>8</v>
      </c>
      <c r="B9" t="s">
        <v>45</v>
      </c>
      <c r="C9" t="s">
        <v>46</v>
      </c>
      <c r="E9" t="s">
        <v>41</v>
      </c>
    </row>
    <row r="10" spans="1:6">
      <c r="A10">
        <v>9</v>
      </c>
      <c r="B10" t="s">
        <v>49</v>
      </c>
      <c r="C10" t="s">
        <v>46</v>
      </c>
      <c r="E10" t="s">
        <v>41</v>
      </c>
    </row>
    <row r="11" spans="1:6">
      <c r="A11">
        <v>10</v>
      </c>
      <c r="B11" t="s">
        <v>50</v>
      </c>
      <c r="C11" t="s">
        <v>46</v>
      </c>
      <c r="E11" t="s">
        <v>41</v>
      </c>
    </row>
    <row r="12" spans="1:6">
      <c r="A12">
        <v>11</v>
      </c>
      <c r="B12" t="s">
        <v>38</v>
      </c>
      <c r="C12" t="s">
        <v>39</v>
      </c>
      <c r="D12" t="s">
        <v>48</v>
      </c>
      <c r="E12" t="s">
        <v>51</v>
      </c>
    </row>
    <row r="13" spans="1:6">
      <c r="A13">
        <v>12</v>
      </c>
      <c r="B13" t="s">
        <v>49</v>
      </c>
      <c r="C13" t="s">
        <v>46</v>
      </c>
      <c r="E13" t="s">
        <v>41</v>
      </c>
      <c r="F13" t="s">
        <v>54</v>
      </c>
    </row>
    <row r="14" spans="1:6">
      <c r="A14">
        <v>13</v>
      </c>
      <c r="B14" t="s">
        <v>49</v>
      </c>
      <c r="C14" t="s">
        <v>46</v>
      </c>
      <c r="E14" t="s">
        <v>41</v>
      </c>
      <c r="F14" t="s">
        <v>54</v>
      </c>
    </row>
    <row r="15" spans="1:6">
      <c r="A15">
        <v>14</v>
      </c>
      <c r="B15" t="s">
        <v>50</v>
      </c>
      <c r="C15" t="s">
        <v>46</v>
      </c>
      <c r="E15" t="s">
        <v>41</v>
      </c>
    </row>
    <row r="17" spans="6:6" ht="94.5" customHeight="1">
      <c r="F17" s="5" t="s">
        <v>42</v>
      </c>
    </row>
    <row r="18" spans="6:6" ht="42.75" customHeight="1">
      <c r="F18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A089E-C2D0-42A2-A072-C9949BD978F6}">
  <dimension ref="A1:E8"/>
  <sheetViews>
    <sheetView workbookViewId="0">
      <selection activeCell="H14" sqref="H14"/>
    </sheetView>
  </sheetViews>
  <sheetFormatPr defaultRowHeight="14.25"/>
  <cols>
    <col min="2" max="2" width="44.625" customWidth="1"/>
    <col min="3" max="3" width="18.125" customWidth="1"/>
    <col min="4" max="4" width="24.25" customWidth="1"/>
  </cols>
  <sheetData>
    <row r="1" spans="1:5">
      <c r="A1" t="s">
        <v>55</v>
      </c>
      <c r="B1" t="s">
        <v>56</v>
      </c>
      <c r="C1" t="s">
        <v>57</v>
      </c>
      <c r="D1" t="s">
        <v>58</v>
      </c>
      <c r="E1" t="s">
        <v>59</v>
      </c>
    </row>
    <row r="2" spans="1:5">
      <c r="A2">
        <v>1</v>
      </c>
      <c r="B2" t="s">
        <v>60</v>
      </c>
      <c r="C2" t="s">
        <v>61</v>
      </c>
      <c r="D2" t="s">
        <v>62</v>
      </c>
      <c r="E2" t="s">
        <v>63</v>
      </c>
    </row>
    <row r="3" spans="1:5">
      <c r="A3">
        <v>2</v>
      </c>
      <c r="B3" t="s">
        <v>64</v>
      </c>
      <c r="C3" t="s">
        <v>65</v>
      </c>
      <c r="D3" t="s">
        <v>62</v>
      </c>
      <c r="E3" t="s">
        <v>66</v>
      </c>
    </row>
    <row r="4" spans="1:5">
      <c r="A4">
        <v>3</v>
      </c>
      <c r="B4" t="s">
        <v>67</v>
      </c>
      <c r="C4" t="s">
        <v>61</v>
      </c>
      <c r="D4" t="s">
        <v>62</v>
      </c>
      <c r="E4" t="s">
        <v>68</v>
      </c>
    </row>
    <row r="5" spans="1:5">
      <c r="A5">
        <v>4</v>
      </c>
      <c r="B5" t="s">
        <v>69</v>
      </c>
      <c r="C5" t="s">
        <v>65</v>
      </c>
      <c r="D5" t="s">
        <v>62</v>
      </c>
      <c r="E5" t="s">
        <v>70</v>
      </c>
    </row>
    <row r="6" spans="1:5">
      <c r="A6">
        <v>5</v>
      </c>
      <c r="B6" t="s">
        <v>71</v>
      </c>
      <c r="C6" t="s">
        <v>65</v>
      </c>
      <c r="D6" t="s">
        <v>61</v>
      </c>
      <c r="E6" t="s">
        <v>72</v>
      </c>
    </row>
    <row r="8" spans="1:5">
      <c r="A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DACE-9D41-42D0-B50E-DCA0BA62263F}">
  <dimension ref="A1:J45"/>
  <sheetViews>
    <sheetView tabSelected="1" topLeftCell="A4" zoomScale="85" zoomScaleNormal="85" workbookViewId="0">
      <selection activeCell="B45" sqref="B45"/>
    </sheetView>
  </sheetViews>
  <sheetFormatPr defaultRowHeight="14.25"/>
  <cols>
    <col min="1" max="1" width="17.875" customWidth="1"/>
  </cols>
  <sheetData>
    <row r="1" spans="1:10">
      <c r="A1" t="s">
        <v>0</v>
      </c>
      <c r="B1" t="s">
        <v>106</v>
      </c>
      <c r="C1" t="s">
        <v>122</v>
      </c>
      <c r="D1" t="s">
        <v>123</v>
      </c>
      <c r="E1" t="s">
        <v>126</v>
      </c>
      <c r="F1" t="s">
        <v>127</v>
      </c>
      <c r="G1" t="s">
        <v>23</v>
      </c>
      <c r="H1" t="s">
        <v>24</v>
      </c>
      <c r="I1" t="s">
        <v>74</v>
      </c>
      <c r="J1" t="s">
        <v>27</v>
      </c>
    </row>
    <row r="2" spans="1:10">
      <c r="A2" t="s">
        <v>76</v>
      </c>
      <c r="B2" t="s">
        <v>107</v>
      </c>
      <c r="C2" t="s">
        <v>124</v>
      </c>
      <c r="D2">
        <v>10</v>
      </c>
      <c r="E2">
        <v>14</v>
      </c>
      <c r="F2">
        <v>38</v>
      </c>
      <c r="G2">
        <f>ABS(E2-D2)</f>
        <v>4</v>
      </c>
      <c r="H2">
        <f>ABS(F2-D2)</f>
        <v>28</v>
      </c>
      <c r="I2">
        <f>H2-G2</f>
        <v>24</v>
      </c>
      <c r="J2" s="2" t="str">
        <f>IF(H2&lt;G2,"improved",IF(H2&gt;G2,"worsened","unchanged"))</f>
        <v>worsened</v>
      </c>
    </row>
    <row r="3" spans="1:10">
      <c r="A3" t="s">
        <v>77</v>
      </c>
      <c r="B3" t="s">
        <v>108</v>
      </c>
      <c r="C3" t="s">
        <v>124</v>
      </c>
      <c r="D3">
        <v>27</v>
      </c>
      <c r="E3">
        <v>32</v>
      </c>
      <c r="F3">
        <v>31</v>
      </c>
      <c r="G3">
        <f t="shared" ref="G3:G31" si="0">ABS(E3-D3)</f>
        <v>5</v>
      </c>
      <c r="H3">
        <f t="shared" ref="H3:H31" si="1">ABS(F3-D3)</f>
        <v>4</v>
      </c>
      <c r="I3">
        <f t="shared" ref="I3:I31" si="2">H3-G3</f>
        <v>-1</v>
      </c>
      <c r="J3" s="2" t="str">
        <f t="shared" ref="J3:J31" si="3">IF(H3&lt;G3,"improved",IF(H3&gt;G3,"worsened","unchanged"))</f>
        <v>improved</v>
      </c>
    </row>
    <row r="4" spans="1:10">
      <c r="A4" t="s">
        <v>78</v>
      </c>
      <c r="B4" t="s">
        <v>109</v>
      </c>
      <c r="C4" t="s">
        <v>125</v>
      </c>
      <c r="D4">
        <v>0</v>
      </c>
      <c r="E4">
        <v>20</v>
      </c>
      <c r="F4">
        <v>32</v>
      </c>
      <c r="G4">
        <f t="shared" si="0"/>
        <v>20</v>
      </c>
      <c r="H4">
        <f t="shared" si="1"/>
        <v>32</v>
      </c>
      <c r="I4">
        <f t="shared" si="2"/>
        <v>12</v>
      </c>
      <c r="J4" s="2" t="str">
        <f t="shared" si="3"/>
        <v>worsened</v>
      </c>
    </row>
    <row r="5" spans="1:10">
      <c r="A5" t="s">
        <v>79</v>
      </c>
      <c r="B5" t="s">
        <v>107</v>
      </c>
      <c r="C5" t="s">
        <v>124</v>
      </c>
      <c r="D5">
        <v>3</v>
      </c>
      <c r="E5">
        <v>15</v>
      </c>
      <c r="F5">
        <v>20</v>
      </c>
      <c r="G5">
        <f t="shared" si="0"/>
        <v>12</v>
      </c>
      <c r="H5">
        <f t="shared" si="1"/>
        <v>17</v>
      </c>
      <c r="I5">
        <f t="shared" si="2"/>
        <v>5</v>
      </c>
      <c r="J5" s="2" t="str">
        <f t="shared" si="3"/>
        <v>worsened</v>
      </c>
    </row>
    <row r="6" spans="1:10">
      <c r="A6" t="s">
        <v>80</v>
      </c>
      <c r="B6" t="s">
        <v>108</v>
      </c>
      <c r="C6" t="s">
        <v>124</v>
      </c>
      <c r="D6">
        <v>20</v>
      </c>
      <c r="E6">
        <v>18</v>
      </c>
      <c r="F6">
        <v>19</v>
      </c>
      <c r="G6">
        <f t="shared" si="0"/>
        <v>2</v>
      </c>
      <c r="H6">
        <f t="shared" si="1"/>
        <v>1</v>
      </c>
      <c r="I6">
        <f t="shared" si="2"/>
        <v>-1</v>
      </c>
      <c r="J6" s="2" t="str">
        <f t="shared" si="3"/>
        <v>improved</v>
      </c>
    </row>
    <row r="7" spans="1:10">
      <c r="A7" t="s">
        <v>81</v>
      </c>
      <c r="B7" t="s">
        <v>110</v>
      </c>
      <c r="C7" t="s">
        <v>125</v>
      </c>
      <c r="D7">
        <v>0</v>
      </c>
      <c r="E7">
        <v>0</v>
      </c>
      <c r="F7">
        <v>0</v>
      </c>
      <c r="G7">
        <f t="shared" si="0"/>
        <v>0</v>
      </c>
      <c r="H7">
        <f t="shared" si="1"/>
        <v>0</v>
      </c>
      <c r="I7">
        <f t="shared" si="2"/>
        <v>0</v>
      </c>
      <c r="J7" s="2" t="str">
        <f t="shared" si="3"/>
        <v>unchanged</v>
      </c>
    </row>
    <row r="8" spans="1:10">
      <c r="A8" t="s">
        <v>82</v>
      </c>
      <c r="B8" t="s">
        <v>107</v>
      </c>
      <c r="C8" t="s">
        <v>124</v>
      </c>
      <c r="D8">
        <v>3</v>
      </c>
      <c r="E8">
        <v>2</v>
      </c>
      <c r="F8">
        <v>12</v>
      </c>
      <c r="G8">
        <f t="shared" si="0"/>
        <v>1</v>
      </c>
      <c r="H8">
        <f t="shared" si="1"/>
        <v>9</v>
      </c>
      <c r="I8">
        <f t="shared" si="2"/>
        <v>8</v>
      </c>
      <c r="J8" s="2" t="str">
        <f t="shared" si="3"/>
        <v>worsened</v>
      </c>
    </row>
    <row r="9" spans="1:10">
      <c r="A9" t="s">
        <v>83</v>
      </c>
      <c r="B9" t="s">
        <v>111</v>
      </c>
      <c r="C9" t="s">
        <v>124</v>
      </c>
      <c r="D9">
        <v>4</v>
      </c>
      <c r="E9">
        <v>0</v>
      </c>
      <c r="F9">
        <v>0</v>
      </c>
      <c r="G9">
        <f t="shared" si="0"/>
        <v>4</v>
      </c>
      <c r="H9">
        <f t="shared" si="1"/>
        <v>4</v>
      </c>
      <c r="I9">
        <f t="shared" si="2"/>
        <v>0</v>
      </c>
      <c r="J9" s="2" t="str">
        <f t="shared" si="3"/>
        <v>unchanged</v>
      </c>
    </row>
    <row r="10" spans="1:10">
      <c r="A10" t="s">
        <v>84</v>
      </c>
      <c r="B10" t="s">
        <v>112</v>
      </c>
      <c r="C10" t="s">
        <v>125</v>
      </c>
      <c r="D10">
        <v>0</v>
      </c>
      <c r="E10">
        <v>0</v>
      </c>
      <c r="F10">
        <v>0</v>
      </c>
      <c r="G10">
        <f t="shared" si="0"/>
        <v>0</v>
      </c>
      <c r="H10">
        <f t="shared" si="1"/>
        <v>0</v>
      </c>
      <c r="I10">
        <f t="shared" si="2"/>
        <v>0</v>
      </c>
      <c r="J10" s="2" t="str">
        <f t="shared" si="3"/>
        <v>unchanged</v>
      </c>
    </row>
    <row r="11" spans="1:10">
      <c r="A11" t="s">
        <v>85</v>
      </c>
      <c r="B11" t="s">
        <v>107</v>
      </c>
      <c r="C11" t="s">
        <v>124</v>
      </c>
      <c r="D11">
        <v>4</v>
      </c>
      <c r="E11">
        <v>4</v>
      </c>
      <c r="F11">
        <v>4</v>
      </c>
      <c r="G11">
        <f t="shared" si="0"/>
        <v>0</v>
      </c>
      <c r="H11">
        <f t="shared" si="1"/>
        <v>0</v>
      </c>
      <c r="I11">
        <f t="shared" si="2"/>
        <v>0</v>
      </c>
      <c r="J11" s="2" t="str">
        <f t="shared" si="3"/>
        <v>unchanged</v>
      </c>
    </row>
    <row r="12" spans="1:10">
      <c r="A12" t="s">
        <v>86</v>
      </c>
      <c r="B12" t="s">
        <v>113</v>
      </c>
      <c r="C12" t="s">
        <v>124</v>
      </c>
      <c r="D12">
        <v>7</v>
      </c>
      <c r="E12">
        <v>8</v>
      </c>
      <c r="F12">
        <v>9</v>
      </c>
      <c r="G12">
        <f t="shared" si="0"/>
        <v>1</v>
      </c>
      <c r="H12">
        <f t="shared" si="1"/>
        <v>2</v>
      </c>
      <c r="I12">
        <f t="shared" si="2"/>
        <v>1</v>
      </c>
      <c r="J12" s="2" t="str">
        <f t="shared" si="3"/>
        <v>worsened</v>
      </c>
    </row>
    <row r="13" spans="1:10">
      <c r="A13" t="s">
        <v>87</v>
      </c>
      <c r="B13" t="s">
        <v>111</v>
      </c>
      <c r="C13" t="s">
        <v>125</v>
      </c>
      <c r="D13">
        <v>0</v>
      </c>
      <c r="E13">
        <v>0</v>
      </c>
      <c r="F13">
        <v>0</v>
      </c>
      <c r="G13">
        <f t="shared" si="0"/>
        <v>0</v>
      </c>
      <c r="H13">
        <f t="shared" si="1"/>
        <v>0</v>
      </c>
      <c r="I13">
        <f t="shared" si="2"/>
        <v>0</v>
      </c>
      <c r="J13" s="2" t="str">
        <f t="shared" si="3"/>
        <v>unchanged</v>
      </c>
    </row>
    <row r="14" spans="1:10">
      <c r="A14" t="s">
        <v>88</v>
      </c>
      <c r="B14" t="s">
        <v>114</v>
      </c>
      <c r="C14" t="s">
        <v>124</v>
      </c>
      <c r="D14">
        <v>3</v>
      </c>
      <c r="E14">
        <v>24</v>
      </c>
      <c r="F14">
        <v>29</v>
      </c>
      <c r="G14">
        <f t="shared" si="0"/>
        <v>21</v>
      </c>
      <c r="H14">
        <f t="shared" si="1"/>
        <v>26</v>
      </c>
      <c r="I14">
        <f t="shared" si="2"/>
        <v>5</v>
      </c>
      <c r="J14" s="2" t="str">
        <f t="shared" si="3"/>
        <v>worsened</v>
      </c>
    </row>
    <row r="15" spans="1:10">
      <c r="A15" t="s">
        <v>89</v>
      </c>
      <c r="B15" t="s">
        <v>115</v>
      </c>
      <c r="C15" t="s">
        <v>124</v>
      </c>
      <c r="D15">
        <v>24</v>
      </c>
      <c r="E15">
        <v>24</v>
      </c>
      <c r="F15">
        <v>26</v>
      </c>
      <c r="G15">
        <f t="shared" si="0"/>
        <v>0</v>
      </c>
      <c r="H15">
        <f t="shared" si="1"/>
        <v>2</v>
      </c>
      <c r="I15">
        <f t="shared" si="2"/>
        <v>2</v>
      </c>
      <c r="J15" s="2" t="str">
        <f t="shared" si="3"/>
        <v>worsened</v>
      </c>
    </row>
    <row r="16" spans="1:10">
      <c r="A16" t="s">
        <v>90</v>
      </c>
      <c r="B16" t="s">
        <v>116</v>
      </c>
      <c r="C16" t="s">
        <v>125</v>
      </c>
      <c r="D16">
        <v>0</v>
      </c>
      <c r="E16">
        <v>0</v>
      </c>
      <c r="F16">
        <v>0</v>
      </c>
      <c r="G16">
        <f t="shared" si="0"/>
        <v>0</v>
      </c>
      <c r="H16">
        <f t="shared" si="1"/>
        <v>0</v>
      </c>
      <c r="I16">
        <f t="shared" si="2"/>
        <v>0</v>
      </c>
      <c r="J16" s="2" t="str">
        <f t="shared" si="3"/>
        <v>unchanged</v>
      </c>
    </row>
    <row r="17" spans="1:10">
      <c r="A17" t="s">
        <v>91</v>
      </c>
      <c r="B17" t="s">
        <v>114</v>
      </c>
      <c r="C17" t="s">
        <v>124</v>
      </c>
      <c r="D17">
        <v>23</v>
      </c>
      <c r="E17">
        <v>15</v>
      </c>
      <c r="F17">
        <v>49</v>
      </c>
      <c r="G17">
        <f t="shared" si="0"/>
        <v>8</v>
      </c>
      <c r="H17">
        <f t="shared" si="1"/>
        <v>26</v>
      </c>
      <c r="I17">
        <f t="shared" si="2"/>
        <v>18</v>
      </c>
      <c r="J17" s="2" t="str">
        <f t="shared" si="3"/>
        <v>worsened</v>
      </c>
    </row>
    <row r="18" spans="1:10">
      <c r="A18" t="s">
        <v>92</v>
      </c>
      <c r="B18" t="s">
        <v>115</v>
      </c>
      <c r="C18" t="s">
        <v>124</v>
      </c>
      <c r="D18">
        <v>30</v>
      </c>
      <c r="E18">
        <v>31</v>
      </c>
      <c r="F18">
        <v>31</v>
      </c>
      <c r="G18">
        <f t="shared" si="0"/>
        <v>1</v>
      </c>
      <c r="H18">
        <f t="shared" si="1"/>
        <v>1</v>
      </c>
      <c r="I18">
        <f t="shared" si="2"/>
        <v>0</v>
      </c>
      <c r="J18" s="2" t="str">
        <f t="shared" si="3"/>
        <v>unchanged</v>
      </c>
    </row>
    <row r="19" spans="1:10">
      <c r="A19" t="s">
        <v>93</v>
      </c>
      <c r="B19" t="s">
        <v>117</v>
      </c>
      <c r="C19" t="s">
        <v>125</v>
      </c>
      <c r="D19">
        <v>0</v>
      </c>
      <c r="E19">
        <v>0</v>
      </c>
      <c r="F19">
        <v>0</v>
      </c>
      <c r="G19">
        <f t="shared" si="0"/>
        <v>0</v>
      </c>
      <c r="H19">
        <f t="shared" si="1"/>
        <v>0</v>
      </c>
      <c r="I19">
        <f t="shared" si="2"/>
        <v>0</v>
      </c>
      <c r="J19" s="2" t="str">
        <f t="shared" si="3"/>
        <v>unchanged</v>
      </c>
    </row>
    <row r="20" spans="1:10">
      <c r="A20" t="s">
        <v>94</v>
      </c>
      <c r="B20" t="s">
        <v>107</v>
      </c>
      <c r="C20" t="s">
        <v>124</v>
      </c>
      <c r="D20">
        <v>6</v>
      </c>
      <c r="E20">
        <v>7</v>
      </c>
      <c r="F20">
        <v>21</v>
      </c>
      <c r="G20">
        <f t="shared" si="0"/>
        <v>1</v>
      </c>
      <c r="H20">
        <f t="shared" si="1"/>
        <v>15</v>
      </c>
      <c r="I20">
        <f t="shared" si="2"/>
        <v>14</v>
      </c>
      <c r="J20" s="2" t="str">
        <f t="shared" si="3"/>
        <v>worsened</v>
      </c>
    </row>
    <row r="21" spans="1:10">
      <c r="A21" t="s">
        <v>95</v>
      </c>
      <c r="B21" t="s">
        <v>118</v>
      </c>
      <c r="C21" t="s">
        <v>124</v>
      </c>
      <c r="D21">
        <v>22</v>
      </c>
      <c r="E21">
        <v>22</v>
      </c>
      <c r="F21">
        <v>22</v>
      </c>
      <c r="G21">
        <f t="shared" si="0"/>
        <v>0</v>
      </c>
      <c r="H21">
        <f t="shared" si="1"/>
        <v>0</v>
      </c>
      <c r="I21">
        <f t="shared" si="2"/>
        <v>0</v>
      </c>
      <c r="J21" s="2" t="str">
        <f t="shared" si="3"/>
        <v>unchanged</v>
      </c>
    </row>
    <row r="22" spans="1:10">
      <c r="A22" t="s">
        <v>96</v>
      </c>
      <c r="B22" t="s">
        <v>112</v>
      </c>
      <c r="C22" t="s">
        <v>125</v>
      </c>
      <c r="D22">
        <v>0</v>
      </c>
      <c r="E22">
        <v>21</v>
      </c>
      <c r="F22">
        <v>24</v>
      </c>
      <c r="G22">
        <f t="shared" si="0"/>
        <v>21</v>
      </c>
      <c r="H22">
        <f t="shared" si="1"/>
        <v>24</v>
      </c>
      <c r="I22">
        <f t="shared" si="2"/>
        <v>3</v>
      </c>
      <c r="J22" s="2" t="str">
        <f t="shared" si="3"/>
        <v>worsened</v>
      </c>
    </row>
    <row r="23" spans="1:10">
      <c r="A23" t="s">
        <v>97</v>
      </c>
      <c r="B23" t="s">
        <v>107</v>
      </c>
      <c r="C23" t="s">
        <v>124</v>
      </c>
      <c r="D23">
        <v>7</v>
      </c>
      <c r="E23">
        <v>16</v>
      </c>
      <c r="F23">
        <v>20</v>
      </c>
      <c r="G23">
        <f t="shared" si="0"/>
        <v>9</v>
      </c>
      <c r="H23">
        <f t="shared" si="1"/>
        <v>13</v>
      </c>
      <c r="I23">
        <f t="shared" si="2"/>
        <v>4</v>
      </c>
      <c r="J23" s="2" t="str">
        <f t="shared" si="3"/>
        <v>worsened</v>
      </c>
    </row>
    <row r="24" spans="1:10">
      <c r="A24" t="s">
        <v>98</v>
      </c>
      <c r="B24" t="s">
        <v>118</v>
      </c>
      <c r="C24" t="s">
        <v>124</v>
      </c>
      <c r="D24">
        <v>14</v>
      </c>
      <c r="E24">
        <v>13</v>
      </c>
      <c r="F24">
        <v>13</v>
      </c>
      <c r="G24">
        <f t="shared" si="0"/>
        <v>1</v>
      </c>
      <c r="H24">
        <f t="shared" si="1"/>
        <v>1</v>
      </c>
      <c r="I24">
        <f t="shared" si="2"/>
        <v>0</v>
      </c>
      <c r="J24" s="2" t="str">
        <f t="shared" si="3"/>
        <v>unchanged</v>
      </c>
    </row>
    <row r="25" spans="1:10">
      <c r="A25" t="s">
        <v>99</v>
      </c>
      <c r="B25" t="s">
        <v>119</v>
      </c>
      <c r="C25" t="s">
        <v>125</v>
      </c>
      <c r="D25">
        <v>0</v>
      </c>
      <c r="E25">
        <v>0</v>
      </c>
      <c r="F25">
        <v>0</v>
      </c>
      <c r="G25">
        <f t="shared" si="0"/>
        <v>0</v>
      </c>
      <c r="H25">
        <f t="shared" si="1"/>
        <v>0</v>
      </c>
      <c r="I25">
        <f t="shared" si="2"/>
        <v>0</v>
      </c>
      <c r="J25" s="2" t="str">
        <f t="shared" si="3"/>
        <v>unchanged</v>
      </c>
    </row>
    <row r="26" spans="1:10">
      <c r="A26" t="s">
        <v>100</v>
      </c>
      <c r="B26" t="s">
        <v>107</v>
      </c>
      <c r="C26" t="s">
        <v>124</v>
      </c>
      <c r="D26">
        <v>30</v>
      </c>
      <c r="E26">
        <v>29</v>
      </c>
      <c r="F26">
        <v>28</v>
      </c>
      <c r="G26">
        <f t="shared" si="0"/>
        <v>1</v>
      </c>
      <c r="H26">
        <f t="shared" si="1"/>
        <v>2</v>
      </c>
      <c r="I26">
        <f t="shared" si="2"/>
        <v>1</v>
      </c>
      <c r="J26" s="2" t="str">
        <f t="shared" si="3"/>
        <v>worsened</v>
      </c>
    </row>
    <row r="27" spans="1:10">
      <c r="A27" t="s">
        <v>101</v>
      </c>
      <c r="B27" t="s">
        <v>119</v>
      </c>
      <c r="C27" t="s">
        <v>124</v>
      </c>
      <c r="D27">
        <v>8</v>
      </c>
      <c r="E27">
        <v>8</v>
      </c>
      <c r="F27">
        <v>8</v>
      </c>
      <c r="G27">
        <f t="shared" si="0"/>
        <v>0</v>
      </c>
      <c r="H27">
        <f t="shared" si="1"/>
        <v>0</v>
      </c>
      <c r="I27">
        <f t="shared" si="2"/>
        <v>0</v>
      </c>
      <c r="J27" s="2" t="str">
        <f t="shared" si="3"/>
        <v>unchanged</v>
      </c>
    </row>
    <row r="28" spans="1:10">
      <c r="A28" t="s">
        <v>102</v>
      </c>
      <c r="B28" t="s">
        <v>120</v>
      </c>
      <c r="C28" t="s">
        <v>125</v>
      </c>
      <c r="D28">
        <v>0</v>
      </c>
      <c r="E28">
        <v>0</v>
      </c>
      <c r="F28">
        <v>0</v>
      </c>
      <c r="G28">
        <f t="shared" si="0"/>
        <v>0</v>
      </c>
      <c r="H28">
        <f t="shared" si="1"/>
        <v>0</v>
      </c>
      <c r="I28">
        <f t="shared" si="2"/>
        <v>0</v>
      </c>
      <c r="J28" s="2" t="str">
        <f t="shared" si="3"/>
        <v>unchanged</v>
      </c>
    </row>
    <row r="29" spans="1:10">
      <c r="A29" t="s">
        <v>103</v>
      </c>
      <c r="B29" t="s">
        <v>107</v>
      </c>
      <c r="C29" t="s">
        <v>124</v>
      </c>
      <c r="D29">
        <v>27</v>
      </c>
      <c r="E29">
        <v>54</v>
      </c>
      <c r="F29">
        <v>72</v>
      </c>
      <c r="G29">
        <f t="shared" si="0"/>
        <v>27</v>
      </c>
      <c r="H29">
        <f t="shared" si="1"/>
        <v>45</v>
      </c>
      <c r="I29">
        <f t="shared" si="2"/>
        <v>18</v>
      </c>
      <c r="J29" s="2" t="str">
        <f t="shared" si="3"/>
        <v>worsened</v>
      </c>
    </row>
    <row r="30" spans="1:10">
      <c r="A30" t="s">
        <v>104</v>
      </c>
      <c r="B30" t="s">
        <v>121</v>
      </c>
      <c r="C30" t="s">
        <v>124</v>
      </c>
      <c r="D30">
        <v>17</v>
      </c>
      <c r="E30">
        <v>33</v>
      </c>
      <c r="F30">
        <v>80</v>
      </c>
      <c r="G30">
        <f t="shared" si="0"/>
        <v>16</v>
      </c>
      <c r="H30">
        <f t="shared" si="1"/>
        <v>63</v>
      </c>
      <c r="I30">
        <f t="shared" si="2"/>
        <v>47</v>
      </c>
      <c r="J30" s="2" t="str">
        <f t="shared" si="3"/>
        <v>worsened</v>
      </c>
    </row>
    <row r="31" spans="1:10">
      <c r="A31" t="s">
        <v>105</v>
      </c>
      <c r="B31" t="s">
        <v>112</v>
      </c>
      <c r="C31" t="s">
        <v>125</v>
      </c>
      <c r="D31">
        <v>0</v>
      </c>
      <c r="E31">
        <v>48</v>
      </c>
      <c r="F31">
        <v>75</v>
      </c>
      <c r="G31">
        <f t="shared" si="0"/>
        <v>48</v>
      </c>
      <c r="H31">
        <f t="shared" si="1"/>
        <v>75</v>
      </c>
      <c r="I31">
        <f t="shared" si="2"/>
        <v>27</v>
      </c>
      <c r="J31" s="2" t="str">
        <f t="shared" si="3"/>
        <v>worsened</v>
      </c>
    </row>
    <row r="34" spans="1:2">
      <c r="A34" t="s">
        <v>128</v>
      </c>
      <c r="B34">
        <f>AVERAGE(G2:G31)</f>
        <v>6.7666666666666666</v>
      </c>
    </row>
    <row r="35" spans="1:2">
      <c r="A35" t="s">
        <v>129</v>
      </c>
      <c r="B35">
        <f>AVERAGE(H2:H31)</f>
        <v>13</v>
      </c>
    </row>
    <row r="36" spans="1:2">
      <c r="A36" t="s">
        <v>130</v>
      </c>
      <c r="B36">
        <f>AVERAGEIF(C2:C31,"present",G2:G31)</f>
        <v>5.7</v>
      </c>
    </row>
    <row r="37" spans="1:2">
      <c r="A37" t="s">
        <v>131</v>
      </c>
      <c r="B37">
        <f>AVERAGEIF(C2:C31,"present",H2:H31)</f>
        <v>12.95</v>
      </c>
    </row>
    <row r="38" spans="1:2">
      <c r="A38" t="s">
        <v>28</v>
      </c>
      <c r="B38">
        <f>COUNTIF(J2:J31,"improved")</f>
        <v>2</v>
      </c>
    </row>
    <row r="39" spans="1:2">
      <c r="A39" t="s">
        <v>29</v>
      </c>
      <c r="B39">
        <f>COUNTIF(J2:J31,"worsened")</f>
        <v>15</v>
      </c>
    </row>
    <row r="40" spans="1:2">
      <c r="A40" t="s">
        <v>30</v>
      </c>
      <c r="B40">
        <f>COUNTIF(J2:J31,"unchanged")</f>
        <v>13</v>
      </c>
    </row>
    <row r="41" spans="1:2">
      <c r="A41" t="s">
        <v>132</v>
      </c>
      <c r="B41">
        <f>COUNTIFS(C2:C31,"absent",E2:E31,"&gt;0")</f>
        <v>3</v>
      </c>
    </row>
    <row r="42" spans="1:2">
      <c r="A42" t="s">
        <v>133</v>
      </c>
      <c r="B42">
        <f>COUNTIFS(C2:C31,"absent",F2:F31,"&gt;0")</f>
        <v>3</v>
      </c>
    </row>
    <row r="44" spans="1:2">
      <c r="A44" t="s">
        <v>134</v>
      </c>
      <c r="B44">
        <f>(SUM(G2:G31)-G30)/29</f>
        <v>6.4482758620689653</v>
      </c>
    </row>
    <row r="45" spans="1:2">
      <c r="A45" t="s">
        <v>135</v>
      </c>
      <c r="B45" t="s">
        <v>136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TRIEU_TINH_TAY</vt:lpstr>
      <vt:lpstr>q05_2</vt:lpstr>
      <vt:lpstr>ca_hong</vt:lpstr>
      <vt:lpstr>tap_moi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 Dang Khac Trieu</cp:lastModifiedBy>
  <dcterms:created xsi:type="dcterms:W3CDTF">2026-10-27T13:07:09Z</dcterms:created>
  <dcterms:modified xsi:type="dcterms:W3CDTF">2026-10-29T14:29:36Z</dcterms:modified>
</cp:coreProperties>
</file>